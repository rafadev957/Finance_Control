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" sheetId="1" r:id="rId5"/>
    <sheet state="visible" name="Chaves" sheetId="2" r:id="rId6"/>
  </sheets>
  <definedNames>
    <definedName name="qtd_anos">Menu!$D$12</definedName>
    <definedName name="salario">Menu!$D$5</definedName>
    <definedName name="rendimento_carteira">Menu!$D$6</definedName>
    <definedName name="taxa_mensal">Menu!$D$13</definedName>
    <definedName name="sugestao_investimento">Menu!$D$7</definedName>
    <definedName name="aporte">Menu!$D$11</definedName>
  </definedNames>
  <calcPr/>
</workbook>
</file>

<file path=xl/sharedStrings.xml><?xml version="1.0" encoding="utf-8"?>
<sst xmlns="http://schemas.openxmlformats.org/spreadsheetml/2006/main" count="98" uniqueCount="54">
  <si>
    <t>INVESTMENT CALCULATOR</t>
  </si>
  <si>
    <t>SETTINGS</t>
  </si>
  <si>
    <t xml:space="preserve">    Income</t>
  </si>
  <si>
    <t xml:space="preserve">    Portfolio return</t>
  </si>
  <si>
    <t xml:space="preserve">    Investment Recommendation (30%)</t>
  </si>
  <si>
    <t>INVESTMENT BY MONTH</t>
  </si>
  <si>
    <t xml:space="preserve">    How much to invest per month?</t>
  </si>
  <si>
    <t xml:space="preserve">    For how many years will you invest?</t>
  </si>
  <si>
    <t xml:space="preserve">    Monthly rate of return</t>
  </si>
  <si>
    <t xml:space="preserve">    Accumulated wealth</t>
  </si>
  <si>
    <t xml:space="preserve">    Monthly dividends</t>
  </si>
  <si>
    <t>SCENARIOS</t>
  </si>
  <si>
    <t>DIVIDENDS</t>
  </si>
  <si>
    <t xml:space="preserve">    In two years total?</t>
  </si>
  <si>
    <t xml:space="preserve">    In five years total?</t>
  </si>
  <si>
    <t xml:space="preserve">    In ten years total?</t>
  </si>
  <si>
    <t xml:space="preserve">    In twenty years total?</t>
  </si>
  <si>
    <t xml:space="preserve">    In thirty years total?</t>
  </si>
  <si>
    <t>PROFILE</t>
  </si>
  <si>
    <t>Aggressive</t>
  </si>
  <si>
    <t>MONTHLY INVESTMENT AMOUNT</t>
  </si>
  <si>
    <t>TYPE OF PROFILE</t>
  </si>
  <si>
    <t>SUGESTED PERCENTUAL</t>
  </si>
  <si>
    <t>VALUES</t>
  </si>
  <si>
    <t>PAPERS</t>
  </si>
  <si>
    <t>BRICKS</t>
  </si>
  <si>
    <t>HYBRIDS</t>
  </si>
  <si>
    <t>FOF's</t>
  </si>
  <si>
    <t>DEVELOPMENTS</t>
  </si>
  <si>
    <t>HOTELS</t>
  </si>
  <si>
    <t>KEYS</t>
  </si>
  <si>
    <t>TYPE FII</t>
  </si>
  <si>
    <t>%</t>
  </si>
  <si>
    <t>Conservative-PAPERS</t>
  </si>
  <si>
    <t>Conservative</t>
  </si>
  <si>
    <t>Conservative-BRICKS</t>
  </si>
  <si>
    <t>Conservative-HYBRIDS</t>
  </si>
  <si>
    <t>Conservative-FOF's</t>
  </si>
  <si>
    <t>Conservative-DEVELOPMENTS</t>
  </si>
  <si>
    <t>Moderate</t>
  </si>
  <si>
    <t>Conservative-HOTELS</t>
  </si>
  <si>
    <t>Moderate-PAPERS</t>
  </si>
  <si>
    <t>Moderate-BRICKS</t>
  </si>
  <si>
    <t>Moderate-HYBRIDS</t>
  </si>
  <si>
    <t>Moderate-FOF's</t>
  </si>
  <si>
    <t>Moderate-DEVELOPMENTS</t>
  </si>
  <si>
    <t>Moderate-HOTELS</t>
  </si>
  <si>
    <t>AI("Preencha com um valor adequado para esta célula com base no contexto da tabela")</t>
  </si>
  <si>
    <t>Aggressive-PAPERS</t>
  </si>
  <si>
    <t>Aggressive-BRICKS</t>
  </si>
  <si>
    <t>Aggressive-HYBRIDS</t>
  </si>
  <si>
    <t>Aggressive-FOF's</t>
  </si>
  <si>
    <t>Aggressive-DEVELOPMENTS</t>
  </si>
  <si>
    <t>Aggressive-HOTELS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</si>
</sst>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b/>
      <sz val="24.0"/>
      <color rgb="FFFFFFFF"/>
      <name val="Arial"/>
      <scheme val="minor"/>
    </font>
    <font>
      <sz val="11.0"/>
      <color rgb="FF23282C"/>
      <name val="-apple-system"/>
    </font>
    <font>
      <b/>
      <sz val="20.0"/>
      <color rgb="FFFFFFFF"/>
      <name val="Arial"/>
      <scheme val="minor"/>
    </font>
    <font/>
    <font>
      <sz val="12.0"/>
      <color theme="1"/>
      <name val="Arial"/>
      <scheme val="minor"/>
    </font>
    <font>
      <sz val="11.0"/>
      <color theme="1"/>
      <name val="Arial"/>
      <scheme val="minor"/>
    </font>
    <font>
      <sz val="11.0"/>
      <color rgb="FF000000"/>
      <name val="-apple-system"/>
    </font>
    <font>
      <b/>
      <sz val="11.0"/>
      <color theme="1"/>
      <name val="Arial"/>
      <scheme val="minor"/>
    </font>
    <font>
      <b/>
      <sz val="12.0"/>
      <color theme="1"/>
      <name val="Arial"/>
      <scheme val="minor"/>
    </font>
    <font>
      <b/>
      <sz val="20.0"/>
      <color rgb="FFFFFFFF"/>
      <name val="Arial"/>
    </font>
    <font>
      <b/>
      <sz val="16.0"/>
      <color rgb="FFFFFFFF"/>
      <name val="Arial"/>
    </font>
    <font>
      <color theme="1"/>
      <name val="Arial"/>
    </font>
    <font>
      <color rgb="FFFFFFFF"/>
      <name val="Arial"/>
      <scheme val="minor"/>
    </font>
    <font>
      <b/>
      <sz val="17.0"/>
      <color rgb="FFFFFFFF"/>
      <name val="Arial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77718"/>
        <bgColor rgb="FFF77718"/>
      </patternFill>
    </fill>
    <fill>
      <patternFill patternType="solid">
        <fgColor rgb="FFD9D9D9"/>
        <bgColor rgb="FFD9D9D9"/>
      </patternFill>
    </fill>
    <fill>
      <patternFill patternType="solid">
        <fgColor rgb="FF4A86E8"/>
        <bgColor rgb="FF4A86E8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</fills>
  <borders count="50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bottom style="medium">
        <color rgb="FFFFFFFF"/>
      </bottom>
    </border>
    <border>
      <right style="medium">
        <color rgb="FFCCCCCC"/>
      </right>
      <bottom style="medium">
        <color rgb="FFFFFFFF"/>
      </bottom>
    </border>
    <border>
      <left style="medium">
        <color rgb="FFCCCCCC"/>
      </left>
      <right style="thick">
        <color rgb="FF000000"/>
      </right>
      <bottom style="medium">
        <color rgb="FFCCCCCC"/>
      </bottom>
    </border>
    <border>
      <left style="thick">
        <color rgb="FF000000"/>
      </left>
      <top style="medium">
        <color rgb="FFFFFFFF"/>
      </top>
      <bottom style="medium">
        <color rgb="FFFFFFFF"/>
      </bottom>
    </border>
    <border>
      <right style="medium">
        <color rgb="FFCCCCCC"/>
      </right>
      <top style="medium">
        <color rgb="FFFFFFFF"/>
      </top>
      <bottom style="medium">
        <color rgb="FFFFFFFF"/>
      </bottom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</border>
    <border>
      <left style="thick">
        <color rgb="FF000000"/>
      </left>
      <top style="medium">
        <color rgb="FFFFFFFF"/>
      </top>
      <bottom style="thick">
        <color rgb="FF000000"/>
      </bottom>
    </border>
    <border>
      <right style="medium">
        <color rgb="FFCCCCCC"/>
      </right>
      <top style="medium">
        <color rgb="FFFFFFFF"/>
      </top>
      <bottom style="thick">
        <color rgb="FF000000"/>
      </bottom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</border>
    <border>
      <left style="thick">
        <color rgb="FF000000"/>
      </left>
      <bottom style="medium">
        <color rgb="FFCCCCCC"/>
      </bottom>
    </border>
    <border>
      <right style="medium">
        <color rgb="FFCCCCCC"/>
      </right>
      <bottom style="medium">
        <color rgb="FFCCCCCC"/>
      </bottom>
    </border>
    <border>
      <left style="thick">
        <color rgb="FF000000"/>
      </left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thick">
        <color rgb="FF000000"/>
      </left>
      <top style="medium">
        <color rgb="FFCCCCCC"/>
      </top>
      <bottom style="medium">
        <color rgb="FF999999"/>
      </bottom>
    </border>
    <border>
      <right style="medium">
        <color rgb="FFCCCCCC"/>
      </right>
      <top style="medium">
        <color rgb="FFCCCCCC"/>
      </top>
      <bottom style="medium">
        <color rgb="FF999999"/>
      </bottom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999999"/>
      </bottom>
    </border>
    <border>
      <left style="thick">
        <color rgb="FF000000"/>
      </left>
      <top style="medium">
        <color rgb="FF999999"/>
      </top>
      <bottom style="medium">
        <color rgb="FFFFFFFF"/>
      </bottom>
    </border>
    <border>
      <right style="medium">
        <color rgb="FFFFFFFF"/>
      </right>
      <top style="medium">
        <color rgb="FF999999"/>
      </top>
      <bottom style="medium">
        <color rgb="FFFFFFFF"/>
      </bottom>
    </border>
    <border>
      <left style="medium">
        <color rgb="FFFFFFFF"/>
      </left>
      <right style="thick">
        <color rgb="FF000000"/>
      </right>
      <top style="medium">
        <color rgb="FF999999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thick">
        <color rgb="FF000000"/>
      </bottom>
    </border>
    <border>
      <left style="medium">
        <color rgb="FFFFFFFF"/>
      </left>
      <right style="thick">
        <color rgb="FF000000"/>
      </right>
      <top style="medium">
        <color rgb="FFFFFFFF"/>
      </top>
      <bottom style="thick">
        <color rgb="FF000000"/>
      </bottom>
    </border>
    <border>
      <left style="thick">
        <color rgb="FF000000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right style="thick">
        <color rgb="FF000000"/>
      </right>
      <bottom style="medium">
        <color rgb="FFFFFFFF"/>
      </bottom>
    </border>
    <border>
      <left style="thick">
        <color rgb="FF000000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thick">
        <color rgb="FF000000"/>
      </right>
      <top style="medium">
        <color rgb="FFFFFFFF"/>
      </top>
      <bottom style="medium">
        <color rgb="FFFFFFFF"/>
      </bottom>
    </border>
    <border>
      <left style="thick">
        <color rgb="FF000000"/>
      </left>
      <right style="medium">
        <color rgb="FFFFFFFF"/>
      </right>
      <top style="medium">
        <color rgb="FFFFFFFF"/>
      </top>
      <bottom style="thick">
        <color rgb="FF000000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000000"/>
      </bottom>
    </border>
    <border>
      <left style="thick">
        <color rgb="FFF3F3F3"/>
      </left>
      <right style="medium">
        <color rgb="FFCCCCCC"/>
      </right>
      <bottom style="medium">
        <color rgb="FFCCCCCC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medium">
        <color rgb="FFCCCCCC"/>
      </left>
      <right style="thick">
        <color rgb="FFF3F3F3"/>
      </right>
      <bottom style="medium">
        <color rgb="FFCCCCCC"/>
      </bottom>
    </border>
    <border>
      <left style="thick">
        <color rgb="FFF3F3F3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thick">
        <color rgb="FFF3F3F3"/>
      </right>
      <top style="medium">
        <color rgb="FFCCCCCC"/>
      </top>
      <bottom style="medium">
        <color rgb="FFCCCCCC"/>
      </bottom>
    </border>
    <border>
      <left style="thick">
        <color rgb="FFF3F3F3"/>
      </left>
      <right style="medium">
        <color rgb="FFCCCCCC"/>
      </right>
      <top style="medium">
        <color rgb="FFCCCCCC"/>
      </top>
      <bottom style="thick">
        <color rgb="FFF3F3F3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F3F3F3"/>
      </bottom>
    </border>
    <border>
      <left style="medium">
        <color rgb="FFCCCCCC"/>
      </left>
      <right style="thick">
        <color rgb="FFF3F3F3"/>
      </right>
      <top style="medium">
        <color rgb="FFCCCCCC"/>
      </top>
      <bottom style="thick">
        <color rgb="FFF3F3F3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/>
    </xf>
    <xf borderId="1" fillId="3" fontId="4" numFmtId="0" xfId="0" applyAlignment="1" applyBorder="1" applyFill="1" applyFont="1">
      <alignment horizontal="center" readingOrder="0" vertical="center"/>
    </xf>
    <xf borderId="2" fillId="0" fontId="5" numFmtId="0" xfId="0" applyBorder="1" applyFont="1"/>
    <xf borderId="3" fillId="0" fontId="5" numFmtId="0" xfId="0" applyBorder="1" applyFont="1"/>
    <xf borderId="4" fillId="4" fontId="6" numFmtId="0" xfId="0" applyAlignment="1" applyBorder="1" applyFill="1" applyFont="1">
      <alignment readingOrder="0" shrinkToFit="0" vertical="center" wrapText="0"/>
    </xf>
    <xf borderId="5" fillId="0" fontId="5" numFmtId="0" xfId="0" applyBorder="1" applyFont="1"/>
    <xf borderId="6" fillId="0" fontId="7" numFmtId="164" xfId="0" applyAlignment="1" applyBorder="1" applyFont="1" applyNumberFormat="1">
      <alignment horizontal="center" readingOrder="0" vertical="center"/>
    </xf>
    <xf borderId="7" fillId="4" fontId="6" numFmtId="0" xfId="0" applyAlignment="1" applyBorder="1" applyFill="1" applyFont="1">
      <alignment readingOrder="0" shrinkToFit="0" vertical="center" wrapText="0"/>
    </xf>
    <xf borderId="8" fillId="0" fontId="5" numFmtId="0" xfId="0" applyBorder="1" applyFont="1"/>
    <xf borderId="9" fillId="0" fontId="1" numFmtId="9" xfId="0" applyAlignment="1" applyBorder="1" applyFont="1" applyNumberFormat="1">
      <alignment horizontal="center" readingOrder="0" vertical="center"/>
    </xf>
    <xf borderId="10" fillId="4" fontId="6" numFmtId="0" xfId="0" applyAlignment="1" applyBorder="1" applyFill="1" applyFont="1">
      <alignment readingOrder="0" shrinkToFit="0" vertical="center" wrapText="0"/>
    </xf>
    <xf borderId="11" fillId="0" fontId="5" numFmtId="0" xfId="0" applyBorder="1" applyFont="1"/>
    <xf borderId="12" fillId="0" fontId="7" numFmtId="164" xfId="0" applyAlignment="1" applyBorder="1" applyFont="1" applyNumberFormat="1">
      <alignment horizontal="center" readingOrder="0" vertical="center"/>
    </xf>
    <xf borderId="0" fillId="0" fontId="8" numFmtId="0" xfId="0" applyFont="1"/>
    <xf borderId="1" fillId="5" fontId="4" numFmtId="0" xfId="0" applyAlignment="1" applyBorder="1" applyFill="1" applyFont="1">
      <alignment horizontal="center" readingOrder="0" vertical="center"/>
    </xf>
    <xf borderId="13" fillId="0" fontId="6" numFmtId="0" xfId="0" applyAlignment="1" applyBorder="1" applyFont="1">
      <alignment horizontal="left" readingOrder="0" shrinkToFit="0" vertical="center" wrapText="0"/>
    </xf>
    <xf borderId="14" fillId="0" fontId="5" numFmtId="0" xfId="0" applyBorder="1" applyFont="1"/>
    <xf borderId="6" fillId="0" fontId="9" numFmtId="164" xfId="0" applyAlignment="1" applyBorder="1" applyFont="1" applyNumberFormat="1">
      <alignment horizontal="center" readingOrder="0" vertical="center"/>
    </xf>
    <xf borderId="15" fillId="0" fontId="6" numFmtId="0" xfId="0" applyAlignment="1" applyBorder="1" applyFont="1">
      <alignment horizontal="left" readingOrder="0" shrinkToFit="0" vertical="center" wrapText="0"/>
    </xf>
    <xf borderId="16" fillId="0" fontId="5" numFmtId="0" xfId="0" applyBorder="1" applyFont="1"/>
    <xf borderId="9" fillId="0" fontId="9" numFmtId="0" xfId="0" applyAlignment="1" applyBorder="1" applyFont="1">
      <alignment horizontal="center" readingOrder="0" vertical="center"/>
    </xf>
    <xf borderId="17" fillId="0" fontId="6" numFmtId="0" xfId="0" applyAlignment="1" applyBorder="1" applyFont="1">
      <alignment horizontal="left" readingOrder="0" shrinkToFit="0" vertical="center" wrapText="0"/>
    </xf>
    <xf borderId="18" fillId="0" fontId="5" numFmtId="0" xfId="0" applyBorder="1" applyFont="1"/>
    <xf borderId="19" fillId="0" fontId="9" numFmtId="10" xfId="0" applyAlignment="1" applyBorder="1" applyFont="1" applyNumberFormat="1">
      <alignment horizontal="center" readingOrder="0" vertical="center"/>
    </xf>
    <xf borderId="20" fillId="4" fontId="10" numFmtId="0" xfId="0" applyAlignment="1" applyBorder="1" applyFill="1" applyFont="1">
      <alignment horizontal="left" readingOrder="0" shrinkToFit="0" vertical="center" wrapText="0"/>
    </xf>
    <xf borderId="21" fillId="0" fontId="5" numFmtId="0" xfId="0" applyBorder="1" applyFont="1"/>
    <xf borderId="22" fillId="4" fontId="9" numFmtId="164" xfId="0" applyAlignment="1" applyBorder="1" applyFill="1" applyFont="1" applyNumberFormat="1">
      <alignment horizontal="center" vertical="center"/>
    </xf>
    <xf borderId="10" fillId="4" fontId="10" numFmtId="0" xfId="0" applyAlignment="1" applyBorder="1" applyFill="1" applyFont="1">
      <alignment horizontal="left" readingOrder="0" shrinkToFit="0" vertical="center" wrapText="0"/>
    </xf>
    <xf borderId="23" fillId="0" fontId="5" numFmtId="0" xfId="0" applyBorder="1" applyFont="1"/>
    <xf borderId="24" fillId="4" fontId="9" numFmtId="164" xfId="0" applyAlignment="1" applyBorder="1" applyFill="1" applyFont="1" applyNumberFormat="1">
      <alignment horizontal="center" vertical="center"/>
    </xf>
    <xf borderId="1" fillId="5" fontId="11" numFmtId="0" xfId="0" applyAlignment="1" applyBorder="1" applyFill="1" applyFont="1">
      <alignment horizontal="center" readingOrder="0"/>
    </xf>
    <xf borderId="3" fillId="5" fontId="12" numFmtId="0" xfId="0" applyAlignment="1" applyBorder="1" applyFill="1" applyFont="1">
      <alignment horizontal="center" readingOrder="0" vertical="center"/>
    </xf>
    <xf borderId="0" fillId="0" fontId="13" numFmtId="0" xfId="0" applyAlignment="1" applyFont="1">
      <alignment vertical="bottom"/>
    </xf>
    <xf borderId="0" fillId="0" fontId="14" numFmtId="0" xfId="0" applyAlignment="1" applyFont="1">
      <alignment readingOrder="0"/>
    </xf>
    <xf borderId="25" fillId="4" fontId="6" numFmtId="0" xfId="0" applyAlignment="1" applyBorder="1" applyFill="1" applyFont="1">
      <alignment readingOrder="0" shrinkToFit="0" wrapText="0"/>
    </xf>
    <xf borderId="26" fillId="4" fontId="1" numFmtId="164" xfId="0" applyAlignment="1" applyBorder="1" applyFill="1" applyFont="1" applyNumberFormat="1">
      <alignment horizontal="center"/>
    </xf>
    <xf borderId="27" fillId="4" fontId="1" numFmtId="164" xfId="0" applyAlignment="1" applyBorder="1" applyFill="1" applyFont="1" applyNumberFormat="1">
      <alignment horizontal="center"/>
    </xf>
    <xf borderId="28" fillId="4" fontId="6" numFmtId="0" xfId="0" applyAlignment="1" applyBorder="1" applyFill="1" applyFont="1">
      <alignment readingOrder="0" shrinkToFit="0" wrapText="0"/>
    </xf>
    <xf borderId="29" fillId="4" fontId="1" numFmtId="164" xfId="0" applyAlignment="1" applyBorder="1" applyFill="1" applyFont="1" applyNumberFormat="1">
      <alignment horizontal="center"/>
    </xf>
    <xf borderId="30" fillId="4" fontId="1" numFmtId="164" xfId="0" applyAlignment="1" applyBorder="1" applyFill="1" applyFont="1" applyNumberFormat="1">
      <alignment horizontal="center"/>
    </xf>
    <xf borderId="31" fillId="4" fontId="6" numFmtId="0" xfId="0" applyAlignment="1" applyBorder="1" applyFill="1" applyFont="1">
      <alignment readingOrder="0" shrinkToFit="0" wrapText="0"/>
    </xf>
    <xf borderId="32" fillId="4" fontId="1" numFmtId="164" xfId="0" applyAlignment="1" applyBorder="1" applyFill="1" applyFont="1" applyNumberFormat="1">
      <alignment horizontal="center"/>
    </xf>
    <xf borderId="24" fillId="4" fontId="1" numFmtId="164" xfId="0" applyAlignment="1" applyBorder="1" applyFill="1" applyFont="1" applyNumberFormat="1">
      <alignment horizontal="center"/>
    </xf>
    <xf borderId="1" fillId="5" fontId="11" numFmtId="0" xfId="0" applyAlignment="1" applyBorder="1" applyFill="1" applyFont="1">
      <alignment horizontal="center" readingOrder="0" vertical="center"/>
    </xf>
    <xf borderId="2" fillId="5" fontId="15" numFmtId="0" xfId="0" applyAlignment="1" applyBorder="1" applyFill="1" applyFont="1">
      <alignment horizontal="center" readingOrder="0" vertical="center"/>
    </xf>
    <xf borderId="3" fillId="5" fontId="11" numFmtId="0" xfId="0" applyAlignment="1" applyBorder="1" applyFill="1" applyFont="1">
      <alignment horizontal="left" readingOrder="0"/>
    </xf>
    <xf borderId="0" fillId="6" fontId="16" numFmtId="0" xfId="0" applyAlignment="1" applyFill="1" applyFont="1">
      <alignment horizontal="center" readingOrder="0"/>
    </xf>
    <xf borderId="0" fillId="6" fontId="16" numFmtId="164" xfId="0" applyAlignment="1" applyFill="1" applyFont="1" applyNumberFormat="1">
      <alignment horizontal="center"/>
    </xf>
    <xf borderId="0" fillId="7" fontId="16" numFmtId="0" xfId="0" applyAlignment="1" applyFill="1" applyFont="1">
      <alignment horizontal="center" readingOrder="0" vertical="center"/>
    </xf>
    <xf borderId="33" fillId="8" fontId="1" numFmtId="164" xfId="0" applyAlignment="1" applyBorder="1" applyFill="1" applyFont="1" applyNumberFormat="1">
      <alignment horizontal="left" readingOrder="0" vertical="center"/>
    </xf>
    <xf borderId="34" fillId="8" fontId="1" numFmtId="9" xfId="0" applyAlignment="1" applyBorder="1" applyFill="1" applyFont="1" applyNumberFormat="1">
      <alignment horizontal="center" vertical="center"/>
    </xf>
    <xf borderId="35" fillId="8" fontId="1" numFmtId="164" xfId="0" applyAlignment="1" applyBorder="1" applyFill="1" applyFont="1" applyNumberFormat="1">
      <alignment horizontal="center" vertical="center"/>
    </xf>
    <xf borderId="36" fillId="8" fontId="1" numFmtId="164" xfId="0" applyAlignment="1" applyBorder="1" applyFill="1" applyFont="1" applyNumberFormat="1">
      <alignment horizontal="left" readingOrder="0" vertical="center"/>
    </xf>
    <xf borderId="37" fillId="8" fontId="1" numFmtId="9" xfId="0" applyAlignment="1" applyBorder="1" applyFill="1" applyFont="1" applyNumberFormat="1">
      <alignment horizontal="center" vertical="center"/>
    </xf>
    <xf borderId="38" fillId="8" fontId="1" numFmtId="164" xfId="0" applyAlignment="1" applyBorder="1" applyFill="1" applyFont="1" applyNumberFormat="1">
      <alignment horizontal="center" vertical="center"/>
    </xf>
    <xf borderId="36" fillId="8" fontId="1" numFmtId="164" xfId="0" applyAlignment="1" applyBorder="1" applyFill="1" applyFont="1" applyNumberFormat="1">
      <alignment horizontal="left" vertical="center"/>
    </xf>
    <xf borderId="39" fillId="8" fontId="1" numFmtId="164" xfId="0" applyAlignment="1" applyBorder="1" applyFill="1" applyFont="1" applyNumberFormat="1">
      <alignment horizontal="left" readingOrder="0" vertical="center"/>
    </xf>
    <xf borderId="40" fillId="8" fontId="1" numFmtId="9" xfId="0" applyAlignment="1" applyBorder="1" applyFill="1" applyFont="1" applyNumberFormat="1">
      <alignment horizontal="center" vertical="center"/>
    </xf>
    <xf borderId="41" fillId="8" fontId="1" numFmtId="164" xfId="0" applyAlignment="1" applyBorder="1" applyFill="1" applyFont="1" applyNumberFormat="1">
      <alignment horizontal="center" vertical="center"/>
    </xf>
    <xf borderId="0" fillId="7" fontId="16" numFmtId="0" xfId="0" applyAlignment="1" applyFill="1" applyFont="1">
      <alignment horizontal="center" readingOrder="0"/>
    </xf>
    <xf borderId="0" fillId="7" fontId="16" numFmtId="164" xfId="0" applyAlignment="1" applyFill="1" applyFont="1" applyNumberFormat="1">
      <alignment horizontal="center" readingOrder="0" vertical="center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42" fillId="0" fontId="1" numFmtId="0" xfId="0" applyBorder="1" applyFont="1"/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center" readingOrder="0"/>
    </xf>
    <xf borderId="43" fillId="0" fontId="1" numFmtId="9" xfId="0" applyAlignment="1" applyBorder="1" applyFont="1" applyNumberFormat="1">
      <alignment horizontal="center" readingOrder="0"/>
    </xf>
    <xf borderId="0" fillId="0" fontId="1" numFmtId="9" xfId="0" applyFont="1" applyNumberFormat="1"/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44" fillId="0" fontId="1" numFmtId="0" xfId="0" applyBorder="1" applyFont="1"/>
    <xf borderId="45" fillId="0" fontId="1" numFmtId="0" xfId="0" applyAlignment="1" applyBorder="1" applyFont="1">
      <alignment horizontal="left" readingOrder="0"/>
    </xf>
    <xf borderId="45" fillId="0" fontId="1" numFmtId="164" xfId="0" applyAlignment="1" applyBorder="1" applyFont="1" applyNumberFormat="1">
      <alignment horizontal="center" readingOrder="0"/>
    </xf>
    <xf borderId="46" fillId="0" fontId="1" numFmtId="9" xfId="0" applyAlignment="1" applyBorder="1" applyFont="1" applyNumberFormat="1">
      <alignment horizontal="center" readingOrder="0"/>
    </xf>
    <xf borderId="0" fillId="0" fontId="1" numFmtId="164" xfId="0" applyFont="1" applyNumberFormat="1"/>
    <xf borderId="47" fillId="0" fontId="1" numFmtId="0" xfId="0" applyBorder="1" applyFont="1"/>
    <xf borderId="48" fillId="0" fontId="1" numFmtId="0" xfId="0" applyAlignment="1" applyBorder="1" applyFont="1">
      <alignment horizontal="left" readingOrder="0"/>
    </xf>
    <xf borderId="48" fillId="0" fontId="1" numFmtId="164" xfId="0" applyAlignment="1" applyBorder="1" applyFont="1" applyNumberFormat="1">
      <alignment horizontal="center" readingOrder="0"/>
    </xf>
    <xf borderId="49" fillId="0" fontId="1" numFmtId="9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Menu!$D$29</c:f>
            </c:strRef>
          </c:tx>
          <c:dPt>
            <c:idx val="0"/>
            <c:explosion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sz="16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Menu!$C$30:$C$35</c:f>
            </c:strRef>
          </c:cat>
          <c:val>
            <c:numRef>
              <c:f>Menu!$D$30:$D$35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b"/>
      <c:overlay val="0"/>
      <c:txPr>
        <a:bodyPr/>
        <a:lstStyle/>
        <a:p>
          <a:pPr lvl="0">
            <a:defRPr b="0" sz="1400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36</xdr:row>
      <xdr:rowOff>161925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38"/>
    <col customWidth="1" min="2" max="2" width="34.63"/>
    <col customWidth="1" min="3" max="3" width="29.13"/>
    <col customWidth="1" min="4" max="4" width="24.0"/>
    <col customWidth="1" min="5" max="5" width="2.38"/>
    <col hidden="1" min="6" max="23" width="12.63"/>
  </cols>
  <sheetData>
    <row r="1" ht="96.75" customHeight="1">
      <c r="A1" s="1"/>
      <c r="B1" s="2" t="s">
        <v>0</v>
      </c>
    </row>
    <row r="3">
      <c r="E3" s="3"/>
    </row>
    <row r="4" ht="44.25" customHeight="1">
      <c r="A4" s="1"/>
      <c r="B4" s="4" t="s">
        <v>1</v>
      </c>
      <c r="C4" s="5"/>
      <c r="D4" s="6"/>
      <c r="E4" s="3"/>
    </row>
    <row r="5">
      <c r="A5" s="1"/>
      <c r="B5" s="7" t="s">
        <v>2</v>
      </c>
      <c r="C5" s="8"/>
      <c r="D5" s="9">
        <v>1800.0</v>
      </c>
      <c r="E5" s="3"/>
    </row>
    <row r="6">
      <c r="A6" s="1"/>
      <c r="B6" s="10" t="s">
        <v>3</v>
      </c>
      <c r="C6" s="11"/>
      <c r="D6" s="12">
        <v>0.0089</v>
      </c>
      <c r="E6" s="3"/>
    </row>
    <row r="7">
      <c r="A7" s="1"/>
      <c r="B7" s="13" t="s">
        <v>4</v>
      </c>
      <c r="C7" s="14"/>
      <c r="D7" s="15">
        <f>D5*30%</f>
        <v>540</v>
      </c>
      <c r="E7" s="3"/>
    </row>
    <row r="8">
      <c r="E8" s="16"/>
    </row>
    <row r="9">
      <c r="E9" s="16"/>
    </row>
    <row r="10" ht="44.25" customHeight="1">
      <c r="A10" s="1"/>
      <c r="B10" s="17" t="s">
        <v>5</v>
      </c>
      <c r="C10" s="5"/>
      <c r="D10" s="6"/>
    </row>
    <row r="11" ht="22.5" customHeight="1">
      <c r="A11" s="1"/>
      <c r="B11" s="18" t="s">
        <v>6</v>
      </c>
      <c r="C11" s="19"/>
      <c r="D11" s="20">
        <v>500.0</v>
      </c>
    </row>
    <row r="12" ht="22.5" customHeight="1">
      <c r="A12" s="1"/>
      <c r="B12" s="21" t="s">
        <v>7</v>
      </c>
      <c r="C12" s="22"/>
      <c r="D12" s="23">
        <v>5.0</v>
      </c>
    </row>
    <row r="13" ht="22.5" customHeight="1">
      <c r="A13" s="1"/>
      <c r="B13" s="24" t="s">
        <v>8</v>
      </c>
      <c r="C13" s="25"/>
      <c r="D13" s="26">
        <v>0.01079</v>
      </c>
    </row>
    <row r="14" ht="22.5" customHeight="1">
      <c r="A14" s="1"/>
      <c r="B14" s="27" t="s">
        <v>9</v>
      </c>
      <c r="C14" s="28"/>
      <c r="D14" s="29">
        <f>FV(taxa_mensal,qtd_anos*12,aporte*-1)</f>
        <v>41888.457</v>
      </c>
    </row>
    <row r="15" ht="22.5" customHeight="1">
      <c r="A15" s="1"/>
      <c r="B15" s="30" t="s">
        <v>10</v>
      </c>
      <c r="C15" s="31"/>
      <c r="D15" s="32">
        <f>D14*D6</f>
        <v>372.8072673</v>
      </c>
    </row>
    <row r="18">
      <c r="A18" s="1"/>
      <c r="B18" s="33" t="s">
        <v>11</v>
      </c>
      <c r="C18" s="5"/>
      <c r="D18" s="34" t="s">
        <v>12</v>
      </c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</row>
    <row r="19">
      <c r="A19" s="36">
        <v>2.0</v>
      </c>
      <c r="B19" s="37" t="s">
        <v>13</v>
      </c>
      <c r="C19" s="38">
        <f t="shared" ref="C19:C23" si="1">FV($D$13,A19*12,$D$11*-1)</f>
        <v>13613.81365</v>
      </c>
      <c r="D19" s="39">
        <f>C19*rendimento_carteira</f>
        <v>121.1629415</v>
      </c>
    </row>
    <row r="20">
      <c r="A20" s="36">
        <v>5.0</v>
      </c>
      <c r="B20" s="40" t="s">
        <v>14</v>
      </c>
      <c r="C20" s="41">
        <f t="shared" si="1"/>
        <v>41888.457</v>
      </c>
      <c r="D20" s="42">
        <f>C20*rendimento_carteira</f>
        <v>372.8072673</v>
      </c>
    </row>
    <row r="21">
      <c r="A21" s="36">
        <v>10.0</v>
      </c>
      <c r="B21" s="40" t="s">
        <v>15</v>
      </c>
      <c r="C21" s="41">
        <f t="shared" si="1"/>
        <v>121642.1063</v>
      </c>
      <c r="D21" s="42">
        <f>C21*rendimento_carteira</f>
        <v>1082.614746</v>
      </c>
    </row>
    <row r="22">
      <c r="A22" s="36">
        <v>20.0</v>
      </c>
      <c r="B22" s="40" t="s">
        <v>16</v>
      </c>
      <c r="C22" s="41">
        <f t="shared" si="1"/>
        <v>562599.2</v>
      </c>
      <c r="D22" s="42">
        <f>C22*rendimento_carteira</f>
        <v>5007.13288</v>
      </c>
    </row>
    <row r="23">
      <c r="A23" s="36">
        <v>30.0</v>
      </c>
      <c r="B23" s="43" t="s">
        <v>17</v>
      </c>
      <c r="C23" s="44">
        <f t="shared" si="1"/>
        <v>2161084.828</v>
      </c>
      <c r="D23" s="45">
        <f>C23*rendimento_carteira</f>
        <v>19233.65496</v>
      </c>
    </row>
    <row r="26">
      <c r="B26" s="46" t="s">
        <v>18</v>
      </c>
      <c r="C26" s="47" t="s">
        <v>19</v>
      </c>
      <c r="D26" s="48"/>
    </row>
    <row r="27">
      <c r="B27" s="49" t="s">
        <v>20</v>
      </c>
      <c r="C27" s="50">
        <f>aporte</f>
        <v>500</v>
      </c>
      <c r="D27" s="50"/>
    </row>
    <row r="29">
      <c r="B29" s="51" t="s">
        <v>21</v>
      </c>
      <c r="C29" s="51" t="s">
        <v>22</v>
      </c>
      <c r="D29" s="51" t="s">
        <v>23</v>
      </c>
    </row>
    <row r="30">
      <c r="B30" s="52" t="s">
        <v>24</v>
      </c>
      <c r="C30" s="53">
        <f>VLOOKUP($C$26&amp;"-"&amp;B30,Chaves!A:D,4,FALSE)
</f>
        <v>0.5</v>
      </c>
      <c r="D30" s="54">
        <f t="shared" ref="D30:D35" si="2">C30*$C$27</f>
        <v>250</v>
      </c>
    </row>
    <row r="31">
      <c r="B31" s="55" t="s">
        <v>25</v>
      </c>
      <c r="C31" s="56">
        <f>VLOOKUP($C$26&amp;"-"&amp;B31,Chaves!A:D,4,FALSE)
</f>
        <v>0.1</v>
      </c>
      <c r="D31" s="57">
        <f t="shared" si="2"/>
        <v>50</v>
      </c>
    </row>
    <row r="32">
      <c r="B32" s="55" t="s">
        <v>26</v>
      </c>
      <c r="C32" s="56">
        <f>VLOOKUP($C$26&amp;"-"&amp;B32,Chaves!A:D,4,FALSE)
</f>
        <v>0.05</v>
      </c>
      <c r="D32" s="57">
        <f t="shared" si="2"/>
        <v>25</v>
      </c>
    </row>
    <row r="33">
      <c r="B33" s="58" t="s">
        <v>27</v>
      </c>
      <c r="C33" s="56">
        <f>VLOOKUP($C$26&amp;"-"&amp;B33,Chaves!A:D,4,FALSE)
</f>
        <v>0.05</v>
      </c>
      <c r="D33" s="57">
        <f t="shared" si="2"/>
        <v>25</v>
      </c>
    </row>
    <row r="34">
      <c r="B34" s="55" t="s">
        <v>28</v>
      </c>
      <c r="C34" s="56">
        <f>VLOOKUP($C$26&amp;"-"&amp;B34,Chaves!A:D,4,FALSE)
</f>
        <v>0.2</v>
      </c>
      <c r="D34" s="57">
        <f t="shared" si="2"/>
        <v>100</v>
      </c>
    </row>
    <row r="35">
      <c r="B35" s="59" t="s">
        <v>29</v>
      </c>
      <c r="C35" s="60">
        <f>VLOOKUP($C$26&amp;"-"&amp;B35,Chaves!A:D,4,FALSE)
</f>
        <v>0.1</v>
      </c>
      <c r="D35" s="61">
        <f t="shared" si="2"/>
        <v>50</v>
      </c>
    </row>
    <row r="36">
      <c r="B36" s="62"/>
      <c r="C36" s="62"/>
      <c r="D36" s="63">
        <f>SUM(D30:D35)</f>
        <v>500</v>
      </c>
    </row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mergeCells count="12">
    <mergeCell ref="B12:C12"/>
    <mergeCell ref="B13:C13"/>
    <mergeCell ref="B14:C14"/>
    <mergeCell ref="B15:C15"/>
    <mergeCell ref="B18:C18"/>
    <mergeCell ref="B1:D1"/>
    <mergeCell ref="B4:D4"/>
    <mergeCell ref="B5:C5"/>
    <mergeCell ref="B6:C6"/>
    <mergeCell ref="B7:C7"/>
    <mergeCell ref="B10:D10"/>
    <mergeCell ref="B11:C11"/>
  </mergeCells>
  <dataValidations>
    <dataValidation type="list" allowBlank="1" showDropDown="1" showErrorMessage="1" sqref="C26">
      <formula1>"Aggressive,Moderate,Conservative"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3" max="3" width="17.5"/>
  </cols>
  <sheetData>
    <row r="1">
      <c r="A1" s="64" t="s">
        <v>30</v>
      </c>
      <c r="B1" s="65" t="s">
        <v>18</v>
      </c>
      <c r="C1" s="65" t="s">
        <v>31</v>
      </c>
      <c r="D1" s="66" t="s">
        <v>32</v>
      </c>
    </row>
    <row r="2">
      <c r="A2" s="67" t="s">
        <v>33</v>
      </c>
      <c r="B2" s="68" t="s">
        <v>34</v>
      </c>
      <c r="C2" s="69" t="s">
        <v>24</v>
      </c>
      <c r="D2" s="70">
        <v>0.3</v>
      </c>
      <c r="F2" s="71">
        <f>VLOOKUP(A2,A:D,4,FALSE)</f>
        <v>0.3</v>
      </c>
    </row>
    <row r="3">
      <c r="A3" s="67" t="s">
        <v>35</v>
      </c>
      <c r="B3" s="68" t="s">
        <v>34</v>
      </c>
      <c r="C3" s="69" t="s">
        <v>25</v>
      </c>
      <c r="D3" s="70">
        <v>0.5</v>
      </c>
    </row>
    <row r="4">
      <c r="A4" s="67" t="s">
        <v>36</v>
      </c>
      <c r="B4" s="68" t="s">
        <v>34</v>
      </c>
      <c r="C4" s="69" t="s">
        <v>26</v>
      </c>
      <c r="D4" s="70">
        <v>0.1</v>
      </c>
    </row>
    <row r="5">
      <c r="A5" s="67" t="s">
        <v>37</v>
      </c>
      <c r="B5" s="68" t="s">
        <v>34</v>
      </c>
      <c r="C5" s="72" t="s">
        <v>27</v>
      </c>
      <c r="D5" s="70">
        <v>0.1</v>
      </c>
      <c r="F5" s="73" t="s">
        <v>19</v>
      </c>
      <c r="G5" s="74" t="s">
        <v>24</v>
      </c>
      <c r="I5" s="75" t="str">
        <f t="shared" ref="I5:I10" si="1">$F$5&amp;"-"&amp;$G5</f>
        <v>Aggressive-PAPERS</v>
      </c>
      <c r="J5" s="75" t="str">
        <f t="shared" ref="J5:J10" si="2">$F$6&amp;"-"&amp;$G5</f>
        <v>Moderate-PAPERS</v>
      </c>
      <c r="K5" s="75" t="str">
        <f t="shared" ref="K5:K10" si="3">$F$7&amp;"-"&amp;$G5</f>
        <v>Conservative-PAPERS</v>
      </c>
    </row>
    <row r="6">
      <c r="A6" s="67" t="s">
        <v>38</v>
      </c>
      <c r="B6" s="68" t="s">
        <v>34</v>
      </c>
      <c r="C6" s="69" t="s">
        <v>28</v>
      </c>
      <c r="D6" s="70">
        <v>0.0</v>
      </c>
      <c r="F6" s="73" t="s">
        <v>39</v>
      </c>
      <c r="G6" s="74" t="s">
        <v>25</v>
      </c>
      <c r="I6" s="75" t="str">
        <f t="shared" si="1"/>
        <v>Aggressive-BRICKS</v>
      </c>
      <c r="J6" s="75" t="str">
        <f t="shared" si="2"/>
        <v>Moderate-BRICKS</v>
      </c>
      <c r="K6" s="75" t="str">
        <f t="shared" si="3"/>
        <v>Conservative-BRICKS</v>
      </c>
    </row>
    <row r="7">
      <c r="A7" s="67" t="s">
        <v>40</v>
      </c>
      <c r="B7" s="68" t="s">
        <v>34</v>
      </c>
      <c r="C7" s="69" t="s">
        <v>29</v>
      </c>
      <c r="D7" s="70">
        <v>0.0</v>
      </c>
      <c r="F7" s="73" t="s">
        <v>34</v>
      </c>
      <c r="G7" s="74" t="s">
        <v>26</v>
      </c>
      <c r="I7" s="75" t="str">
        <f t="shared" si="1"/>
        <v>Aggressive-HYBRIDS</v>
      </c>
      <c r="J7" s="75" t="str">
        <f t="shared" si="2"/>
        <v>Moderate-HYBRIDS</v>
      </c>
      <c r="K7" s="75" t="str">
        <f t="shared" si="3"/>
        <v>Conservative-HYBRIDS</v>
      </c>
    </row>
    <row r="8">
      <c r="A8" s="76" t="s">
        <v>41</v>
      </c>
      <c r="B8" s="77" t="s">
        <v>39</v>
      </c>
      <c r="C8" s="78" t="s">
        <v>24</v>
      </c>
      <c r="D8" s="79">
        <v>0.32</v>
      </c>
      <c r="G8" s="80" t="s">
        <v>27</v>
      </c>
      <c r="I8" s="75" t="str">
        <f t="shared" si="1"/>
        <v>Aggressive-FOF's</v>
      </c>
      <c r="J8" s="75" t="str">
        <f t="shared" si="2"/>
        <v>Moderate-FOF's</v>
      </c>
      <c r="K8" s="75" t="str">
        <f t="shared" si="3"/>
        <v>Conservative-FOF's</v>
      </c>
    </row>
    <row r="9">
      <c r="A9" s="67" t="s">
        <v>42</v>
      </c>
      <c r="B9" s="68" t="s">
        <v>39</v>
      </c>
      <c r="C9" s="69" t="s">
        <v>25</v>
      </c>
      <c r="D9" s="70">
        <v>0.4</v>
      </c>
      <c r="G9" s="74" t="s">
        <v>28</v>
      </c>
      <c r="I9" s="75" t="str">
        <f t="shared" si="1"/>
        <v>Aggressive-DEVELOPMENTS</v>
      </c>
      <c r="J9" s="75" t="str">
        <f t="shared" si="2"/>
        <v>Moderate-DEVELOPMENTS</v>
      </c>
      <c r="K9" s="75" t="str">
        <f t="shared" si="3"/>
        <v>Conservative-DEVELOPMENTS</v>
      </c>
    </row>
    <row r="10">
      <c r="A10" s="67" t="s">
        <v>43</v>
      </c>
      <c r="B10" s="68" t="s">
        <v>39</v>
      </c>
      <c r="C10" s="69" t="s">
        <v>26</v>
      </c>
      <c r="D10" s="70">
        <v>0.08</v>
      </c>
      <c r="G10" s="74" t="s">
        <v>29</v>
      </c>
      <c r="I10" s="75" t="str">
        <f t="shared" si="1"/>
        <v>Aggressive-HOTELS</v>
      </c>
      <c r="J10" s="75" t="str">
        <f t="shared" si="2"/>
        <v>Moderate-HOTELS</v>
      </c>
      <c r="K10" s="75" t="str">
        <f t="shared" si="3"/>
        <v>Conservative-HOTELS</v>
      </c>
    </row>
    <row r="11">
      <c r="A11" s="67" t="s">
        <v>44</v>
      </c>
      <c r="B11" s="68" t="s">
        <v>39</v>
      </c>
      <c r="C11" s="72" t="s">
        <v>27</v>
      </c>
      <c r="D11" s="70">
        <v>0.05</v>
      </c>
    </row>
    <row r="12">
      <c r="A12" s="67" t="s">
        <v>45</v>
      </c>
      <c r="B12" s="68" t="s">
        <v>39</v>
      </c>
      <c r="C12" s="69" t="s">
        <v>28</v>
      </c>
      <c r="D12" s="70">
        <v>0.1</v>
      </c>
    </row>
    <row r="13">
      <c r="A13" s="67" t="s">
        <v>46</v>
      </c>
      <c r="B13" s="68" t="s">
        <v>39</v>
      </c>
      <c r="C13" s="69" t="s">
        <v>29</v>
      </c>
      <c r="D13" s="70">
        <v>0.05</v>
      </c>
      <c r="I13" s="73" t="s">
        <v>47</v>
      </c>
    </row>
    <row r="14">
      <c r="A14" s="76" t="s">
        <v>48</v>
      </c>
      <c r="B14" s="77" t="s">
        <v>19</v>
      </c>
      <c r="C14" s="78" t="s">
        <v>24</v>
      </c>
      <c r="D14" s="79">
        <v>0.5</v>
      </c>
    </row>
    <row r="15">
      <c r="A15" s="67" t="s">
        <v>49</v>
      </c>
      <c r="B15" s="68" t="s">
        <v>19</v>
      </c>
      <c r="C15" s="69" t="s">
        <v>25</v>
      </c>
      <c r="D15" s="70">
        <v>0.1</v>
      </c>
    </row>
    <row r="16">
      <c r="A16" s="67" t="s">
        <v>50</v>
      </c>
      <c r="B16" s="68" t="s">
        <v>19</v>
      </c>
      <c r="C16" s="69" t="s">
        <v>26</v>
      </c>
      <c r="D16" s="70">
        <v>0.05</v>
      </c>
    </row>
    <row r="17">
      <c r="A17" s="67" t="s">
        <v>51</v>
      </c>
      <c r="B17" s="68" t="s">
        <v>19</v>
      </c>
      <c r="C17" s="72" t="s">
        <v>27</v>
      </c>
      <c r="D17" s="70">
        <v>0.05</v>
      </c>
    </row>
    <row r="18">
      <c r="A18" s="67" t="s">
        <v>52</v>
      </c>
      <c r="B18" s="68" t="s">
        <v>19</v>
      </c>
      <c r="C18" s="69" t="s">
        <v>28</v>
      </c>
      <c r="D18" s="70">
        <v>0.2</v>
      </c>
    </row>
    <row r="19">
      <c r="A19" s="81" t="s">
        <v>53</v>
      </c>
      <c r="B19" s="82" t="s">
        <v>19</v>
      </c>
      <c r="C19" s="83" t="s">
        <v>29</v>
      </c>
      <c r="D19" s="84">
        <v>0.1</v>
      </c>
    </row>
  </sheetData>
  <drawing r:id="rId1"/>
</worksheet>
</file>